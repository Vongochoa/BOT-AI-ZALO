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3260" windowHeight="14860" tabRatio="600" firstSheet="0" activeTab="0" autoFilterDateGrouping="1"/>
  </bookViews>
  <sheets>
    <sheet name="Sheet1" sheetId="1" state="visible" r:id="rId1"/>
    <sheet name="Sheet2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6"/>
    </font>
    <font>
      <name val="Times New Roman"/>
      <family val="1"/>
      <b val="1"/>
      <color theme="1"/>
      <sz val="18"/>
    </font>
    <font>
      <name val="Times New Roman"/>
      <family val="1"/>
      <color theme="1"/>
      <sz val="14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6"/>
    </font>
    <font>
      <name val="Times New Roman"/>
      <family val="1"/>
      <b val="1"/>
      <i val="1"/>
      <color theme="1"/>
      <sz val="16"/>
    </font>
    <font>
      <name val="Times New Roman"/>
      <family val="1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3">
    <xf numFmtId="0" fontId="0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pivotButton="0" quotePrefix="0" xfId="1"/>
    <xf numFmtId="0" fontId="5" fillId="0" borderId="0" pivotButton="0" quotePrefix="0" xfId="0"/>
    <xf numFmtId="164" fontId="5" fillId="3" borderId="0" pivotButton="0" quotePrefix="0" xfId="1"/>
    <xf numFmtId="0" fontId="7" fillId="4" borderId="0" pivotButton="0" quotePrefix="0" xfId="0"/>
    <xf numFmtId="164" fontId="8" fillId="2" borderId="0" pivotButton="0" quotePrefix="0" xfId="1"/>
    <xf numFmtId="164" fontId="0" fillId="0" borderId="0" pivotButton="0" quotePrefix="0" xfId="0"/>
    <xf numFmtId="164" fontId="6" fillId="0" borderId="1" pivotButton="0" quotePrefix="0" xfId="1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MyExcel/MyExcel.xla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MyExcel"/>
    </sheetNames>
    <definedNames>
      <definedName name="vn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6"/>
  <sheetViews>
    <sheetView tabSelected="1" workbookViewId="0">
      <selection activeCell="C15" sqref="C15"/>
    </sheetView>
  </sheetViews>
  <sheetFormatPr baseColWidth="8" defaultRowHeight="14.5"/>
  <cols>
    <col width="15.26953125" customWidth="1" min="2" max="2"/>
    <col width="14.26953125" customWidth="1" min="3" max="3"/>
    <col width="23.54296875" customWidth="1" min="4" max="4"/>
    <col width="11.81640625" bestFit="1" customWidth="1" min="8" max="8"/>
    <col width="17.1796875" bestFit="1" customWidth="1" min="9" max="9"/>
  </cols>
  <sheetData>
    <row r="1" ht="19.9" customHeight="1">
      <c r="B1" s="11" t="inlineStr">
        <is>
          <t>BẢNG KÊ CÁC LOẠI TIỀN NỘP</t>
        </is>
      </c>
    </row>
    <row r="2" ht="20.5" customHeight="1">
      <c r="B2" s="3" t="inlineStr">
        <is>
          <t>Mệnh giá</t>
        </is>
      </c>
      <c r="C2" s="3" t="inlineStr">
        <is>
          <t>Số tờ</t>
        </is>
      </c>
      <c r="D2" s="3" t="inlineStr">
        <is>
          <t>Thành tiền</t>
        </is>
      </c>
      <c r="F2" t="inlineStr">
        <is>
          <t>Nhập tay</t>
        </is>
      </c>
      <c r="H2" t="inlineStr">
        <is>
          <t>NHẬP</t>
        </is>
      </c>
      <c r="I2" s="6" t="n">
        <v>2565000</v>
      </c>
    </row>
    <row r="3" ht="25" customHeight="1">
      <c r="B3" s="4" t="n">
        <v>500000</v>
      </c>
      <c r="C3" s="1">
        <f>IF($I$2="",0,IF(F3&lt;&gt;"",F3,FLOOR($I$2/B3,1)))</f>
        <v/>
      </c>
      <c r="D3" s="2">
        <f>C3*B3</f>
        <v/>
      </c>
      <c r="H3" s="7">
        <f>IF(I3&gt;0,"THIẾU","THỪA")</f>
        <v/>
      </c>
      <c r="I3" s="8">
        <f>IF(D12=$I$2,"OK","THIẾU "&amp;TEXT($I$2-D12,"#,##0")&amp;"đ")</f>
        <v/>
      </c>
    </row>
    <row r="4" ht="20.5" customHeight="1">
      <c r="B4" s="4" t="n">
        <v>200000</v>
      </c>
      <c r="C4" s="1">
        <f>IF($I$2="",0,IF(F4&lt;&gt;"",F4,FLOOR(($I$2-D3)/B4,1)))</f>
        <v/>
      </c>
      <c r="D4" s="2">
        <f>C4*B4</f>
        <v/>
      </c>
    </row>
    <row r="5" ht="20.5" customHeight="1">
      <c r="B5" s="4" t="n">
        <v>100000</v>
      </c>
      <c r="C5" s="1">
        <f>IF($I$2="",0,IFERROR(FLOOR(($I$2-D3-D4)/B5,1),0))</f>
        <v/>
      </c>
      <c r="D5" s="2">
        <f>C5*B5</f>
        <v/>
      </c>
      <c r="I5" t="inlineStr">
        <is>
          <t>NHỚ CHỌN IN TRANG 1</t>
        </is>
      </c>
    </row>
    <row r="6" ht="20.5" customHeight="1">
      <c r="B6" s="4" t="n">
        <v>50000</v>
      </c>
      <c r="C6" s="1">
        <f>IF($I$2="",0,IFERROR(FLOOR(($I$2-D3-D4-D5)/B6,1),0))</f>
        <v/>
      </c>
      <c r="D6" s="2">
        <f>C6*B6</f>
        <v/>
      </c>
    </row>
    <row r="7" ht="20.5" customHeight="1">
      <c r="B7" s="4" t="n">
        <v>20000</v>
      </c>
      <c r="C7" s="1">
        <f>IF($I$2="",0,IFERROR(FLOOR(($I$2-D3-D4-D5-D6)/B7,1),0))</f>
        <v/>
      </c>
      <c r="D7" s="2">
        <f>C7*B7</f>
        <v/>
      </c>
    </row>
    <row r="8" ht="20.5" customHeight="1">
      <c r="B8" s="4" t="n">
        <v>10000</v>
      </c>
      <c r="C8" s="1">
        <f>IF($I$2="",0,IFERROR(FLOOR(($I$2-D3-D4-D5-D6-D7)/B8,1),0))</f>
        <v/>
      </c>
      <c r="D8" s="2">
        <f>C8*B8</f>
        <v/>
      </c>
    </row>
    <row r="9" ht="20.5" customHeight="1">
      <c r="B9" s="4" t="n">
        <v>5000</v>
      </c>
      <c r="C9" s="1">
        <f>IF($I$2="",0,IFERROR(FLOOR(($I$2-D3-D4-D5-D6-D7-D8)/B9,1),0))</f>
        <v/>
      </c>
      <c r="D9" s="2">
        <f>C9*B9</f>
        <v/>
      </c>
    </row>
    <row r="10" ht="20.5" customHeight="1">
      <c r="B10" s="4" t="n">
        <v>2000</v>
      </c>
      <c r="C10" s="1">
        <f>IF($I$2="",0,IFERROR(FLOOR(($I$2-D3-D4-D5-D6-D7-D8-D9)/B10,1),0))</f>
        <v/>
      </c>
      <c r="D10" s="2">
        <f>C10*B10</f>
        <v/>
      </c>
    </row>
    <row r="11" ht="20.5" customHeight="1">
      <c r="B11" s="4" t="n">
        <v>1000</v>
      </c>
      <c r="C11" s="1">
        <f>IF($I$2="",0,IFERROR(FLOOR(($I$2-D3-D4-D5-D6-D7-D8-D9-D10)/B11,1),0))</f>
        <v/>
      </c>
      <c r="D11" s="2">
        <f>C11*B11</f>
        <v/>
      </c>
    </row>
    <row r="12" ht="20.5" customHeight="1">
      <c r="B12" s="3" t="inlineStr">
        <is>
          <t>Tổng cộng</t>
        </is>
      </c>
      <c r="C12" s="1">
        <f>SUM(C3:C11)</f>
        <v/>
      </c>
      <c r="D12" s="10">
        <f>SUM(D3:D11)</f>
        <v/>
      </c>
    </row>
    <row r="13">
      <c r="D13" s="9" t="n"/>
    </row>
    <row r="14" ht="18" customHeight="1">
      <c r="A14" s="12" t="inlineStr">
        <is>
          <t xml:space="preserve">Số tiền bằng chữ: </t>
        </is>
      </c>
      <c r="C14" s="5" t="n"/>
      <c r="D14" s="5" t="n"/>
      <c r="E14" s="5" t="n"/>
      <c r="F14" s="5" t="n"/>
    </row>
    <row r="16" ht="18" customHeight="1">
      <c r="A16" s="12" t="inlineStr">
        <is>
          <t>Người nộp tiền</t>
        </is>
      </c>
      <c r="C16" s="12" t="inlineStr">
        <is>
          <t>Giao dịch viên</t>
        </is>
      </c>
    </row>
  </sheetData>
  <mergeCells count="4">
    <mergeCell ref="B1:D1"/>
    <mergeCell ref="A14:B14"/>
    <mergeCell ref="A16:B16"/>
    <mergeCell ref="C16:D16"/>
  </mergeCells>
  <pageMargins left="0.7" right="0.7" top="0.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G7:G7"/>
  <sheetViews>
    <sheetView workbookViewId="0">
      <selection activeCell="G8" sqref="G8"/>
    </sheetView>
  </sheetViews>
  <sheetFormatPr baseColWidth="8" defaultRowHeight="14.5"/>
  <sheetData>
    <row r="7">
      <c r="G7">
        <f>[1]!vnd(3)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 Thi Tuong Vy - 4600</dc:creator>
  <dcterms:created xsi:type="dcterms:W3CDTF">2026-05-12T04:05:47Z</dcterms:created>
  <dcterms:modified xsi:type="dcterms:W3CDTF">2026-05-26T04:08:35Z</dcterms:modified>
  <cp:lastModifiedBy>Ngọc Hoà Võ</cp:lastModifiedBy>
  <cp:lastPrinted>2026-05-26T03:30:15Z</cp:lastPrinted>
</cp:coreProperties>
</file>